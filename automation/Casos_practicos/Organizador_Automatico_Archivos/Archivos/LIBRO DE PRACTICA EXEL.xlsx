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alumno\documentos\"/>
    </mc:Choice>
  </mc:AlternateContent>
  <bookViews>
    <workbookView xWindow="0" yWindow="0" windowWidth="11670" windowHeight="4575" activeTab="1"/>
  </bookViews>
  <sheets>
    <sheet name="FACTURACION TIENDA" sheetId="1" r:id="rId1"/>
    <sheet name="NOMINA DE SUELD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2" l="1"/>
  <c r="D19" i="2"/>
  <c r="D18" i="2"/>
  <c r="D17" i="2"/>
  <c r="D16" i="2"/>
  <c r="D5" i="2"/>
  <c r="D6" i="2"/>
  <c r="D7" i="2"/>
  <c r="D8" i="2"/>
  <c r="D4" i="2"/>
  <c r="D12" i="1"/>
  <c r="D6" i="1"/>
  <c r="D7" i="1"/>
  <c r="D8" i="1"/>
  <c r="D9" i="1"/>
  <c r="D10" i="1"/>
  <c r="D11" i="1"/>
  <c r="D5" i="1"/>
</calcChain>
</file>

<file path=xl/sharedStrings.xml><?xml version="1.0" encoding="utf-8"?>
<sst xmlns="http://schemas.openxmlformats.org/spreadsheetml/2006/main" count="34" uniqueCount="25">
  <si>
    <t>TIENDA COLOMBIANA</t>
  </si>
  <si>
    <t>CANTIDAD</t>
  </si>
  <si>
    <t>DESCRIPCION</t>
  </si>
  <si>
    <t>PRECIO UNITARIO</t>
  </si>
  <si>
    <t>PRECIO TOTAL</t>
  </si>
  <si>
    <t>TOTAL</t>
  </si>
  <si>
    <t>NEVERA</t>
  </si>
  <si>
    <t>SILLAS</t>
  </si>
  <si>
    <t>MESA</t>
  </si>
  <si>
    <t>JARRAS</t>
  </si>
  <si>
    <t>VASOS</t>
  </si>
  <si>
    <t>MANTELES</t>
  </si>
  <si>
    <t>CAMAS</t>
  </si>
  <si>
    <t>NOMBRE</t>
  </si>
  <si>
    <t>NOMINA DE SUELDOS</t>
  </si>
  <si>
    <t>DIAS TRABAJADOS</t>
  </si>
  <si>
    <t>SUELDO BASICO</t>
  </si>
  <si>
    <t>SUELDO TOTAL</t>
  </si>
  <si>
    <t>JOSE</t>
  </si>
  <si>
    <t>MARIA</t>
  </si>
  <si>
    <t>PEDRO</t>
  </si>
  <si>
    <t>JACINTO</t>
  </si>
  <si>
    <t>JUAN</t>
  </si>
  <si>
    <t>ENERO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</si>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</sst>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5" fontId="0" fillId="0" borderId="1" xfId="1" applyNumberFormat="1" applyFont="1" applyBorder="1"/>
    <xf numFmtId="165" fontId="0" fillId="0" borderId="0" xfId="0" applyNumberFormat="1"/>
    <xf numFmtId="2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ENERO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'NOMINA DE SUELDOS'!$A$16:$A$20</c:f>
              <c:strCache>
                <c:ptCount val="5"/>
                <c:pt idx="0">
                  <c:v>JOSE</c:v>
                </c:pt>
                <c:pt idx="1">
                  <c:v>MARIA</c:v>
                </c:pt>
                <c:pt idx="2">
                  <c:v>PEDRO</c:v>
                </c:pt>
                <c:pt idx="3">
                  <c:v>JACINTO</c:v>
                </c:pt>
                <c:pt idx="4">
                  <c:v>JUAN</c:v>
                </c:pt>
              </c:strCache>
            </c:strRef>
          </c:cat>
          <c:val>
            <c:numRef>
              <c:f>'NOMINA DE SUELDOS'!$D$4:$D$8</c:f>
              <c:numCache>
                <c:formatCode>0.00</c:formatCode>
                <c:ptCount val="5"/>
                <c:pt idx="0">
                  <c:v>333.33333333333337</c:v>
                </c:pt>
                <c:pt idx="1">
                  <c:v>300</c:v>
                </c:pt>
                <c:pt idx="2">
                  <c:v>233.33333333333331</c:v>
                </c:pt>
                <c:pt idx="3">
                  <c:v>133.33333333333334</c:v>
                </c:pt>
                <c:pt idx="4" formatCode="General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D-4818-BCD5-A57CFF503969}"/>
            </c:ext>
          </c:extLst>
        </c:ser>
        <c:ser>
          <c:idx val="1"/>
          <c:order val="1"/>
          <c:tx>
            <c:v>FEBRER0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'NOMINA DE SUELDOS'!$A$16:$A$20</c:f>
              <c:strCache>
                <c:ptCount val="5"/>
                <c:pt idx="0">
                  <c:v>JOSE</c:v>
                </c:pt>
                <c:pt idx="1">
                  <c:v>MARIA</c:v>
                </c:pt>
                <c:pt idx="2">
                  <c:v>PEDRO</c:v>
                </c:pt>
                <c:pt idx="3">
                  <c:v>JACINTO</c:v>
                </c:pt>
                <c:pt idx="4">
                  <c:v>JUAN</c:v>
                </c:pt>
              </c:strCache>
            </c:strRef>
          </c:cat>
          <c:val>
            <c:numRef>
              <c:f>'NOMINA DE SUELDOS'!$D$16:$D$20</c:f>
              <c:numCache>
                <c:formatCode>0.00</c:formatCode>
                <c:ptCount val="5"/>
                <c:pt idx="0">
                  <c:v>800</c:v>
                </c:pt>
                <c:pt idx="1">
                  <c:v>510</c:v>
                </c:pt>
                <c:pt idx="2">
                  <c:v>700</c:v>
                </c:pt>
                <c:pt idx="3">
                  <c:v>696.66666666666663</c:v>
                </c:pt>
                <c:pt idx="4" formatCode="General">
                  <c:v>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ED-4818-BCD5-A57CFF503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388735512"/>
        <c:axId val="388735840"/>
        <c:axId val="311065480"/>
      </c:bar3DChart>
      <c:catAx>
        <c:axId val="388735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735840"/>
        <c:crosses val="autoZero"/>
        <c:auto val="1"/>
        <c:lblAlgn val="ctr"/>
        <c:lblOffset val="100"/>
        <c:noMultiLvlLbl val="0"/>
      </c:catAx>
      <c:valAx>
        <c:axId val="38873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735512"/>
        <c:crosses val="autoZero"/>
        <c:crossBetween val="between"/>
      </c:valAx>
      <c:serAx>
        <c:axId val="3110654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735840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209549</xdr:colOff>
      <xdr:row>2</xdr:row>
      <xdr:rowOff>9525</xdr:rowOff>
    </xdr:from>
    <xdr:to>
      <xdr:col>11</xdr:col>
      <xdr:colOff>504824</xdr:colOff>
      <xdr:row>14</xdr:row>
      <xdr:rowOff>47625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D12" sqref="D12"/>
    </sheetView>
  </sheetViews>
  <sheetFormatPr baseColWidth="10" defaultRowHeight="15" x14ac:dyDescent="0.25"/>
  <cols>
    <col min="1" max="2" width="15.7109375" customWidth="1"/>
    <col min="3" max="3" width="16.7109375" bestFit="1" customWidth="1"/>
    <col min="4" max="4" width="15.7109375" customWidth="1"/>
  </cols>
  <sheetData>
    <row r="1" spans="1:4" ht="18.75" x14ac:dyDescent="0.3">
      <c r="A1" s="4" t="s">
        <v>0</v>
      </c>
      <c r="B1" s="4"/>
      <c r="C1" s="4"/>
      <c r="D1" s="4"/>
    </row>
    <row r="4" spans="1:4" x14ac:dyDescent="0.25">
      <c r="A4" s="2" t="s">
        <v>1</v>
      </c>
      <c r="B4" s="2" t="s">
        <v>2</v>
      </c>
      <c r="C4" s="2" t="s">
        <v>3</v>
      </c>
      <c r="D4" s="2" t="s">
        <v>4</v>
      </c>
    </row>
    <row r="5" spans="1:4" x14ac:dyDescent="0.25">
      <c r="A5" s="3">
        <v>4</v>
      </c>
      <c r="B5" s="3" t="s">
        <v>6</v>
      </c>
      <c r="C5" s="6">
        <v>1500000</v>
      </c>
      <c r="D5" s="6">
        <f>A5*C5</f>
        <v>6000000</v>
      </c>
    </row>
    <row r="6" spans="1:4" x14ac:dyDescent="0.25">
      <c r="A6" s="3">
        <v>5</v>
      </c>
      <c r="B6" s="3" t="s">
        <v>7</v>
      </c>
      <c r="C6" s="6">
        <v>100000</v>
      </c>
      <c r="D6" s="6">
        <f t="shared" ref="D6:D11" si="0">A6*C6</f>
        <v>500000</v>
      </c>
    </row>
    <row r="7" spans="1:4" x14ac:dyDescent="0.25">
      <c r="A7" s="3">
        <v>2</v>
      </c>
      <c r="B7" s="3" t="s">
        <v>8</v>
      </c>
      <c r="C7" s="6">
        <v>3000000</v>
      </c>
      <c r="D7" s="6">
        <f t="shared" si="0"/>
        <v>6000000</v>
      </c>
    </row>
    <row r="8" spans="1:4" x14ac:dyDescent="0.25">
      <c r="A8" s="3">
        <v>5</v>
      </c>
      <c r="B8" s="3" t="s">
        <v>9</v>
      </c>
      <c r="C8" s="6">
        <v>20000</v>
      </c>
      <c r="D8" s="6">
        <f t="shared" si="0"/>
        <v>100000</v>
      </c>
    </row>
    <row r="9" spans="1:4" x14ac:dyDescent="0.25">
      <c r="A9" s="3">
        <v>20</v>
      </c>
      <c r="B9" s="3" t="s">
        <v>10</v>
      </c>
      <c r="C9" s="6">
        <v>10000</v>
      </c>
      <c r="D9" s="6">
        <f t="shared" si="0"/>
        <v>200000</v>
      </c>
    </row>
    <row r="10" spans="1:4" x14ac:dyDescent="0.25">
      <c r="A10" s="3">
        <v>2</v>
      </c>
      <c r="B10" s="3" t="s">
        <v>11</v>
      </c>
      <c r="C10" s="6">
        <v>15000</v>
      </c>
      <c r="D10" s="6">
        <f t="shared" si="0"/>
        <v>30000</v>
      </c>
    </row>
    <row r="11" spans="1:4" x14ac:dyDescent="0.25">
      <c r="A11" s="3">
        <v>2</v>
      </c>
      <c r="B11" s="3" t="s">
        <v>12</v>
      </c>
      <c r="C11" s="6">
        <v>4000000</v>
      </c>
      <c r="D11" s="6">
        <f t="shared" si="0"/>
        <v>8000000</v>
      </c>
    </row>
    <row r="12" spans="1:4" x14ac:dyDescent="0.25">
      <c r="C12" s="5" t="s">
        <v>5</v>
      </c>
      <c r="D12" s="7">
        <f>SUM(D5:D11)</f>
        <v>20830000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I16" sqref="I16"/>
    </sheetView>
  </sheetViews>
  <sheetFormatPr baseColWidth="10" defaultRowHeight="15" x14ac:dyDescent="0.25"/>
  <cols>
    <col min="2" max="2" width="17.28515625" bestFit="1" customWidth="1"/>
    <col min="3" max="3" width="14.85546875" bestFit="1" customWidth="1"/>
    <col min="4" max="4" width="13.85546875" bestFit="1" customWidth="1"/>
  </cols>
  <sheetData>
    <row r="1" spans="1:5" x14ac:dyDescent="0.25">
      <c r="A1" s="1" t="s">
        <v>14</v>
      </c>
      <c r="B1" s="1"/>
      <c r="C1" s="1"/>
      <c r="D1" s="1"/>
      <c r="E1" s="1"/>
    </row>
    <row r="2" spans="1:5" x14ac:dyDescent="0.25">
      <c r="A2" s="1" t="s">
        <v>23</v>
      </c>
      <c r="B2" s="1"/>
      <c r="C2" s="1"/>
      <c r="D2" s="1"/>
    </row>
    <row r="3" spans="1:5" x14ac:dyDescent="0.25">
      <c r="A3" t="s">
        <v>13</v>
      </c>
      <c r="B3" t="s">
        <v>15</v>
      </c>
      <c r="C3" t="s">
        <v>16</v>
      </c>
      <c r="D3" t="s">
        <v>17</v>
      </c>
    </row>
    <row r="4" spans="1:5" x14ac:dyDescent="0.25">
      <c r="A4" t="s">
        <v>18</v>
      </c>
      <c r="B4">
        <v>20</v>
      </c>
      <c r="C4">
        <v>500</v>
      </c>
      <c r="D4" s="8">
        <f>C4/30*B4</f>
        <v>333.33333333333337</v>
      </c>
    </row>
    <row r="5" spans="1:5" x14ac:dyDescent="0.25">
      <c r="A5" t="s">
        <v>19</v>
      </c>
      <c r="B5">
        <v>15</v>
      </c>
      <c r="C5">
        <v>600</v>
      </c>
      <c r="D5" s="8">
        <f t="shared" ref="D5:D8" si="0">C5/30*B5</f>
        <v>300</v>
      </c>
    </row>
    <row r="6" spans="1:5" x14ac:dyDescent="0.25">
      <c r="A6" t="s">
        <v>20</v>
      </c>
      <c r="B6">
        <v>10</v>
      </c>
      <c r="C6">
        <v>700</v>
      </c>
      <c r="D6" s="8">
        <f t="shared" si="0"/>
        <v>233.33333333333331</v>
      </c>
    </row>
    <row r="7" spans="1:5" x14ac:dyDescent="0.25">
      <c r="A7" t="s">
        <v>21</v>
      </c>
      <c r="B7">
        <v>5</v>
      </c>
      <c r="C7">
        <v>800</v>
      </c>
      <c r="D7" s="8">
        <f t="shared" si="0"/>
        <v>133.33333333333334</v>
      </c>
    </row>
    <row r="8" spans="1:5" x14ac:dyDescent="0.25">
      <c r="A8" t="s">
        <v>22</v>
      </c>
      <c r="B8">
        <v>21</v>
      </c>
      <c r="C8">
        <v>900</v>
      </c>
      <c r="D8">
        <f t="shared" si="0"/>
        <v>630</v>
      </c>
    </row>
    <row r="14" spans="1:5" x14ac:dyDescent="0.25">
      <c r="A14" s="1" t="s">
        <v>24</v>
      </c>
      <c r="B14" s="1"/>
      <c r="C14" s="1"/>
      <c r="D14" s="1"/>
    </row>
    <row r="15" spans="1:5" x14ac:dyDescent="0.25">
      <c r="A15" t="s">
        <v>13</v>
      </c>
      <c r="B15" t="s">
        <v>15</v>
      </c>
      <c r="C15" t="s">
        <v>16</v>
      </c>
      <c r="D15" t="s">
        <v>17</v>
      </c>
    </row>
    <row r="16" spans="1:5" x14ac:dyDescent="0.25">
      <c r="A16" t="s">
        <v>18</v>
      </c>
      <c r="B16">
        <v>30</v>
      </c>
      <c r="C16">
        <v>800</v>
      </c>
      <c r="D16" s="8">
        <f>C16/30*B16</f>
        <v>800</v>
      </c>
    </row>
    <row r="17" spans="1:4" x14ac:dyDescent="0.25">
      <c r="A17" t="s">
        <v>19</v>
      </c>
      <c r="B17">
        <v>17</v>
      </c>
      <c r="C17">
        <v>900</v>
      </c>
      <c r="D17" s="8">
        <f t="shared" ref="D17:D20" si="1">C17/30*B17</f>
        <v>510</v>
      </c>
    </row>
    <row r="18" spans="1:4" x14ac:dyDescent="0.25">
      <c r="A18" t="s">
        <v>20</v>
      </c>
      <c r="B18">
        <v>21</v>
      </c>
      <c r="C18">
        <v>1000</v>
      </c>
      <c r="D18" s="8">
        <f t="shared" si="1"/>
        <v>700</v>
      </c>
    </row>
    <row r="19" spans="1:4" x14ac:dyDescent="0.25">
      <c r="A19" t="s">
        <v>21</v>
      </c>
      <c r="B19">
        <v>19</v>
      </c>
      <c r="C19">
        <v>1100</v>
      </c>
      <c r="D19" s="8">
        <f t="shared" si="1"/>
        <v>696.66666666666663</v>
      </c>
    </row>
    <row r="20" spans="1:4" x14ac:dyDescent="0.25">
      <c r="A20" t="s">
        <v>22</v>
      </c>
      <c r="B20">
        <v>23</v>
      </c>
      <c r="C20">
        <v>1200</v>
      </c>
      <c r="D20">
        <f t="shared" si="1"/>
        <v>920</v>
      </c>
    </row>
  </sheetData>
  <mergeCells count="3">
    <mergeCell ref="A1:E1"/>
    <mergeCell ref="A2:D2"/>
    <mergeCell ref="A14:D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FACTURACION TIENDA</vt:lpstr>
      <vt:lpstr>NOMINA DE SUELDOS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2023-06-21T15:19:11Z</dcterms:created>
  <dcterms:modified xsi:type="dcterms:W3CDTF">2023-06-21T23:25:31Z</dcterms:modified>
</cp:coreProperties>
</file>